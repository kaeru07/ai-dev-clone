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-script\"/>
    </mc:Choice>
  </mc:AlternateContent>
  <xr:revisionPtr revIDLastSave="0" documentId="13_ncr:1_{91C5EEF1-AE37-4CC0-A554-B09721DD6757}" xr6:coauthVersionLast="47" xr6:coauthVersionMax="47" xr10:uidLastSave="{00000000-0000-0000-0000-000000000000}"/>
  <bookViews>
    <workbookView xWindow="-110" yWindow="-110" windowWidth="25820" windowHeight="13900" xr2:uid="{5B81C77D-DAD5-4159-B073-E03E292F3C5F}"/>
  </bookViews>
  <sheets>
    <sheet name="リフレッシュトークン更新手順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4" i="1" l="1"/>
  <c r="B8" i="1"/>
  <c r="B111" i="1" l="1"/>
</calcChain>
</file>

<file path=xl/sharedStrings.xml><?xml version="1.0" encoding="utf-8"?>
<sst xmlns="http://schemas.openxmlformats.org/spreadsheetml/2006/main" count="24" uniqueCount="24">
  <si>
    <t>1.認可URLを作ってアクセスする</t>
    <rPh sb="2" eb="4">
      <t>ニンカ</t>
    </rPh>
    <rPh sb="8" eb="9">
      <t>ツク</t>
    </rPh>
    <phoneticPr fontId="1"/>
  </si>
  <si>
    <t>自分のクライアントIDを入力→</t>
    <rPh sb="0" eb="2">
      <t>ジブン</t>
    </rPh>
    <rPh sb="12" eb="14">
      <t>ニュウリョク</t>
    </rPh>
    <phoneticPr fontId="1"/>
  </si>
  <si>
    <t>52220540834-2qmrh47s2kv595v13ka7dqtqjt2ndck0.apps.googleusercontent.com</t>
    <phoneticPr fontId="1"/>
  </si>
  <si>
    <t>認可URL↓</t>
    <rPh sb="0" eb="2">
      <t>ニンカ</t>
    </rPh>
    <phoneticPr fontId="1"/>
  </si>
  <si>
    <t>自分のクライアントIDを入力すると自動で認可URLが作成されます。</t>
    <rPh sb="0" eb="2">
      <t>ジブン</t>
    </rPh>
    <rPh sb="12" eb="14">
      <t>ニュウリョク</t>
    </rPh>
    <rPh sb="17" eb="19">
      <t>ジドウ</t>
    </rPh>
    <rPh sb="20" eb="22">
      <t>ニンカ</t>
    </rPh>
    <rPh sb="26" eb="28">
      <t>サクセイ</t>
    </rPh>
    <phoneticPr fontId="1"/>
  </si>
  <si>
    <t>（※クライアンドIDはメモしているものか、mykey.jsonに記載があります。）</t>
    <rPh sb="32" eb="34">
      <t>キサイ</t>
    </rPh>
    <phoneticPr fontId="1"/>
  </si>
  <si>
    <t>2.許可しているアカウントを指定して、アクセスキーコードを取得</t>
    <rPh sb="2" eb="4">
      <t>キョカ</t>
    </rPh>
    <rPh sb="14" eb="16">
      <t>シテイ</t>
    </rPh>
    <rPh sb="29" eb="31">
      <t>シュトク</t>
    </rPh>
    <phoneticPr fontId="1"/>
  </si>
  <si>
    <t>アクセスキーコード自動抽出結果：</t>
    <rPh sb="9" eb="13">
      <t>ジドウチュウシュツ</t>
    </rPh>
    <rPh sb="13" eb="15">
      <t>ケッカ</t>
    </rPh>
    <phoneticPr fontId="1"/>
  </si>
  <si>
    <t>３.コマンドプロンプトでアクセスキーコードなどの情報を使って、アクセクトークンを取得</t>
    <rPh sb="24" eb="26">
      <t>ジョウホウ</t>
    </rPh>
    <rPh sb="27" eb="28">
      <t>ツカ</t>
    </rPh>
    <rPh sb="40" eb="42">
      <t>シュトク</t>
    </rPh>
    <phoneticPr fontId="1"/>
  </si>
  <si>
    <t>【コマンドプロンプト】</t>
  </si>
  <si>
    <t>curl -X POST "https://oauth2.googleapis.com/token" ^</t>
  </si>
  <si>
    <t xml:space="preserve">  --data-urlencode "redirect_uri=http://localhost" ^</t>
  </si>
  <si>
    <t xml:space="preserve">  --data-urlencode "grant_type=authorization_code"</t>
  </si>
  <si>
    <t>上記の情報を書き換えたら、コマンドプロンプトに張り付けて実行してください。</t>
    <rPh sb="0" eb="2">
      <t>ジョウキ</t>
    </rPh>
    <rPh sb="3" eb="5">
      <t>ジョウホウ</t>
    </rPh>
    <rPh sb="6" eb="7">
      <t>カ</t>
    </rPh>
    <rPh sb="8" eb="9">
      <t>カ</t>
    </rPh>
    <rPh sb="23" eb="24">
      <t>ハ</t>
    </rPh>
    <rPh sb="25" eb="26">
      <t>ツ</t>
    </rPh>
    <rPh sb="28" eb="30">
      <t>ジッコウ</t>
    </rPh>
    <phoneticPr fontId="1"/>
  </si>
  <si>
    <t>←上のアクセスキーコード自動抽出結果が自動反映されます</t>
    <rPh sb="1" eb="2">
      <t>ウエ</t>
    </rPh>
    <rPh sb="12" eb="14">
      <t>ジドウ</t>
    </rPh>
    <rPh sb="14" eb="16">
      <t>チュウシュツ</t>
    </rPh>
    <rPh sb="16" eb="18">
      <t>ケッカ</t>
    </rPh>
    <rPh sb="19" eb="21">
      <t>ジドウ</t>
    </rPh>
    <rPh sb="21" eb="23">
      <t>ハンエイ</t>
    </rPh>
    <phoneticPr fontId="1"/>
  </si>
  <si>
    <t>←自分のクライアントIDを使って赤字を書き換えてください</t>
    <rPh sb="1" eb="3">
      <t>ジブン</t>
    </rPh>
    <rPh sb="13" eb="14">
      <t>ツカ</t>
    </rPh>
    <rPh sb="16" eb="18">
      <t>アカジ</t>
    </rPh>
    <rPh sb="19" eb="20">
      <t>カ</t>
    </rPh>
    <rPh sb="21" eb="22">
      <t>カ</t>
    </rPh>
    <phoneticPr fontId="1"/>
  </si>
  <si>
    <r>
      <t xml:space="preserve">  --data-urlencode "client_id=</t>
    </r>
    <r>
      <rPr>
        <sz val="11"/>
        <color rgb="FFFF0000"/>
        <rFont val="游ゴシック"/>
        <family val="3"/>
        <charset val="128"/>
        <scheme val="minor"/>
      </rPr>
      <t>52220540834-2qmrh47s2kv595v13ka7dqtqjt2ndck0.apps.googleusercontent.com</t>
    </r>
    <r>
      <rPr>
        <sz val="11"/>
        <color theme="1"/>
        <rFont val="游ゴシック"/>
        <family val="2"/>
        <charset val="128"/>
        <scheme val="minor"/>
      </rPr>
      <t>" ^</t>
    </r>
    <phoneticPr fontId="1"/>
  </si>
  <si>
    <r>
      <t xml:space="preserve">  --data-urlencode "client_secret=</t>
    </r>
    <r>
      <rPr>
        <sz val="11"/>
        <color rgb="FFFF0000"/>
        <rFont val="游ゴシック"/>
        <family val="3"/>
        <charset val="128"/>
        <scheme val="minor"/>
      </rPr>
      <t>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</t>
    </r>
    <r>
      <rPr>
        <sz val="11"/>
        <color theme="1"/>
        <rFont val="游ゴシック"/>
        <family val="2"/>
        <charset val="128"/>
        <scheme val="minor"/>
      </rPr>
      <t>" ^</t>
    </r>
    <phoneticPr fontId="1"/>
  </si>
  <si>
    <t>←自分のシークレットコードを使って赤字を書き換えてください　※クライアントIDとセット</t>
    <rPh sb="1" eb="3">
      <t>ジブン</t>
    </rPh>
    <rPh sb="14" eb="15">
      <t>ツカ</t>
    </rPh>
    <phoneticPr fontId="1"/>
  </si>
  <si>
    <t>http://localhost/?code=4/0ATX87lPXgQMsyNd5hcMYeNlwFU5igZ77FB8fUD1UVsVA33oWE3gmpg_QTrqA34mQGpc71g&amp;scope=https://www.googleapis.com/auth/youtube.force-ssl</t>
    <phoneticPr fontId="1"/>
  </si>
  <si>
    <t>↑アクセストークンとリフレッシュトークンが返却されれば成功</t>
    <rPh sb="21" eb="23">
      <t>ヘンキャク</t>
    </rPh>
    <rPh sb="27" eb="29">
      <t>セイコウ</t>
    </rPh>
    <phoneticPr fontId="1"/>
  </si>
  <si>
    <t>C:\ai-script\configにある「youtube_tokens.json」ファイルのaccess_tokenとrefresh_tokenを書き換える。</t>
    <rPh sb="75" eb="76">
      <t>カ</t>
    </rPh>
    <rPh sb="77" eb="78">
      <t>カ</t>
    </rPh>
    <phoneticPr fontId="1"/>
  </si>
  <si>
    <t>これでリフレッシュトークンの完了！！</t>
    <rPh sb="14" eb="16">
      <t>カンリョウ</t>
    </rPh>
    <phoneticPr fontId="1"/>
  </si>
  <si>
    <t>下記に取得したURLをペーストしてください（セルをダブルクリックするなど、セルの編集モードで記載すること）URLそのままペーストはうまく張り付けできないことも</t>
    <rPh sb="0" eb="2">
      <t>カキ</t>
    </rPh>
    <rPh sb="3" eb="5">
      <t>シュトク</t>
    </rPh>
    <rPh sb="40" eb="42">
      <t>ヘンシュウ</t>
    </rPh>
    <rPh sb="46" eb="48">
      <t>キサイ</t>
    </rPh>
    <rPh sb="68" eb="69">
      <t>ハ</t>
    </rPh>
    <rPh sb="70" eb="71">
      <t>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</si>
</sst>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2" fillId="0" borderId="0" xfId="1" applyAlignment="1">
      <alignment vertical="center"/>
    </xf>
    <xf numFmtId="0" fontId="3" fillId="0" borderId="0" xfId="1" applyFont="1" applyAlignment="1">
      <alignment vertical="center"/>
    </xf>
    <xf numFmtId="0" fontId="0" fillId="2" borderId="4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0" xfId="0" applyFill="1">
      <alignment vertical="center"/>
    </xf>
    <xf numFmtId="0" fontId="0" fillId="2" borderId="8" xfId="0" applyFill="1" applyBorder="1">
      <alignment vertical="center"/>
    </xf>
    <xf numFmtId="0" fontId="0" fillId="2" borderId="9" xfId="0" applyFill="1" applyBorder="1">
      <alignment vertical="center"/>
    </xf>
    <xf numFmtId="0" fontId="0" fillId="2" borderId="10" xfId="0" applyFill="1" applyBorder="1">
      <alignment vertical="center"/>
    </xf>
    <xf numFmtId="0" fontId="0" fillId="2" borderId="1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Fill="1" applyBorder="1">
      <alignment vertical="center"/>
    </xf>
    <xf numFmtId="0" fontId="0" fillId="0" borderId="2" xfId="0" applyFill="1" applyBorder="1">
      <alignment vertical="center"/>
    </xf>
    <xf numFmtId="0" fontId="0" fillId="0" borderId="3" xfId="0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9</xdr:col>
      <xdr:colOff>363639</xdr:colOff>
      <xdr:row>26</xdr:row>
      <xdr:rowOff>38706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4E1A667-6008-480B-AD85-C2E05A12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940" y="2971800"/>
          <a:ext cx="5676049" cy="30105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15</xdr:col>
      <xdr:colOff>27044</xdr:colOff>
      <xdr:row>41</xdr:row>
      <xdr:rowOff>149311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BE41BF04-6BB0-4B14-A6F8-AAF9AD608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940" y="6172200"/>
          <a:ext cx="9496164" cy="334971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43</xdr:row>
      <xdr:rowOff>0</xdr:rowOff>
    </xdr:from>
    <xdr:to>
      <xdr:col>14</xdr:col>
      <xdr:colOff>180222</xdr:colOff>
      <xdr:row>65</xdr:row>
      <xdr:rowOff>227901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B209641-D16E-440D-9B9A-03DF48C4B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2940" y="9829800"/>
          <a:ext cx="8986402" cy="525710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67</xdr:row>
      <xdr:rowOff>0</xdr:rowOff>
    </xdr:from>
    <xdr:to>
      <xdr:col>18</xdr:col>
      <xdr:colOff>157318</xdr:colOff>
      <xdr:row>97</xdr:row>
      <xdr:rowOff>60428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43CFDAD9-0D4C-4603-B5F9-EEB63A841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2940" y="15316200"/>
          <a:ext cx="11611448" cy="6915888"/>
        </a:xfrm>
        <a:prstGeom prst="rect">
          <a:avLst/>
        </a:prstGeom>
      </xdr:spPr>
    </xdr:pic>
    <xdr:clientData/>
  </xdr:twoCellAnchor>
  <xdr:twoCellAnchor>
    <xdr:from>
      <xdr:col>10</xdr:col>
      <xdr:colOff>219710</xdr:colOff>
      <xdr:row>20</xdr:row>
      <xdr:rowOff>10160</xdr:rowOff>
    </xdr:from>
    <xdr:to>
      <xdr:col>13</xdr:col>
      <xdr:colOff>626110</xdr:colOff>
      <xdr:row>22</xdr:row>
      <xdr:rowOff>99060</xdr:rowOff>
    </xdr:to>
    <xdr:sp macro="" textlink="">
      <xdr:nvSpPr>
        <xdr:cNvPr id="13" name="吹き出し: 四角形 12">
          <a:extLst>
            <a:ext uri="{FF2B5EF4-FFF2-40B4-BE49-F238E27FC236}">
              <a16:creationId xmlns:a16="http://schemas.microsoft.com/office/drawing/2014/main" id="{F0605557-3699-0ECD-8150-493C703087E7}"/>
            </a:ext>
          </a:extLst>
        </xdr:cNvPr>
        <xdr:cNvSpPr/>
      </xdr:nvSpPr>
      <xdr:spPr>
        <a:xfrm>
          <a:off x="6849110" y="4582160"/>
          <a:ext cx="2395220" cy="546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許可しているアカウントを選択</a:t>
          </a:r>
        </a:p>
      </xdr:txBody>
    </xdr:sp>
    <xdr:clientData/>
  </xdr:twoCellAnchor>
  <xdr:twoCellAnchor>
    <xdr:from>
      <xdr:col>12</xdr:col>
      <xdr:colOff>457200</xdr:colOff>
      <xdr:row>39</xdr:row>
      <xdr:rowOff>7620</xdr:rowOff>
    </xdr:from>
    <xdr:to>
      <xdr:col>16</xdr:col>
      <xdr:colOff>212090</xdr:colOff>
      <xdr:row>41</xdr:row>
      <xdr:rowOff>93980</xdr:rowOff>
    </xdr:to>
    <xdr:sp macro="" textlink="">
      <xdr:nvSpPr>
        <xdr:cNvPr id="14" name="吹き出し: 四角形 13">
          <a:extLst>
            <a:ext uri="{FF2B5EF4-FFF2-40B4-BE49-F238E27FC236}">
              <a16:creationId xmlns:a16="http://schemas.microsoft.com/office/drawing/2014/main" id="{F5016DDC-3D4C-4D9E-886F-DFEF717FCB30}"/>
            </a:ext>
          </a:extLst>
        </xdr:cNvPr>
        <xdr:cNvSpPr/>
      </xdr:nvSpPr>
      <xdr:spPr>
        <a:xfrm>
          <a:off x="8412480" y="8923020"/>
          <a:ext cx="2406650" cy="54356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14</xdr:col>
      <xdr:colOff>381000</xdr:colOff>
      <xdr:row>62</xdr:row>
      <xdr:rowOff>160020</xdr:rowOff>
    </xdr:from>
    <xdr:to>
      <xdr:col>18</xdr:col>
      <xdr:colOff>137160</xdr:colOff>
      <xdr:row>65</xdr:row>
      <xdr:rowOff>25400</xdr:rowOff>
    </xdr:to>
    <xdr:sp macro="" textlink="">
      <xdr:nvSpPr>
        <xdr:cNvPr id="15" name="吹き出し: 四角形 14">
          <a:extLst>
            <a:ext uri="{FF2B5EF4-FFF2-40B4-BE49-F238E27FC236}">
              <a16:creationId xmlns:a16="http://schemas.microsoft.com/office/drawing/2014/main" id="{0B0ACB81-86F0-4EE8-A136-F8DB9FEF86A3}"/>
            </a:ext>
          </a:extLst>
        </xdr:cNvPr>
        <xdr:cNvSpPr/>
      </xdr:nvSpPr>
      <xdr:spPr>
        <a:xfrm>
          <a:off x="9662160" y="14333220"/>
          <a:ext cx="2407920" cy="55118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続行をクリック</a:t>
          </a:r>
        </a:p>
      </xdr:txBody>
    </xdr:sp>
    <xdr:clientData/>
  </xdr:twoCellAnchor>
  <xdr:twoCellAnchor>
    <xdr:from>
      <xdr:col>18</xdr:col>
      <xdr:colOff>568960</xdr:colOff>
      <xdr:row>67</xdr:row>
      <xdr:rowOff>114300</xdr:rowOff>
    </xdr:from>
    <xdr:to>
      <xdr:col>22</xdr:col>
      <xdr:colOff>367030</xdr:colOff>
      <xdr:row>71</xdr:row>
      <xdr:rowOff>0</xdr:rowOff>
    </xdr:to>
    <xdr:sp macro="" textlink="">
      <xdr:nvSpPr>
        <xdr:cNvPr id="16" name="吹き出し: 四角形 15">
          <a:extLst>
            <a:ext uri="{FF2B5EF4-FFF2-40B4-BE49-F238E27FC236}">
              <a16:creationId xmlns:a16="http://schemas.microsoft.com/office/drawing/2014/main" id="{B0A6C7EA-B546-4A75-831B-65BF79A5DF6B}"/>
            </a:ext>
          </a:extLst>
        </xdr:cNvPr>
        <xdr:cNvSpPr/>
      </xdr:nvSpPr>
      <xdr:spPr>
        <a:xfrm>
          <a:off x="12501880" y="15430500"/>
          <a:ext cx="2449830" cy="800100"/>
        </a:xfrm>
        <a:prstGeom prst="wedgeRectCallout">
          <a:avLst>
            <a:gd name="adj1" fmla="val -60917"/>
            <a:gd name="adj2" fmla="val 1368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URL</a:t>
          </a:r>
          <a:r>
            <a:rPr kumimoji="1" lang="ja-JP" altLang="en-US" sz="1100"/>
            <a:t>に返ってきたコードを使用します。</a:t>
          </a:r>
        </a:p>
      </xdr:txBody>
    </xdr:sp>
    <xdr:clientData/>
  </xdr:twoCellAnchor>
  <xdr:twoCellAnchor editAs="oneCell">
    <xdr:from>
      <xdr:col>1</xdr:col>
      <xdr:colOff>0</xdr:colOff>
      <xdr:row>118</xdr:row>
      <xdr:rowOff>0</xdr:rowOff>
    </xdr:from>
    <xdr:to>
      <xdr:col>13</xdr:col>
      <xdr:colOff>9410</xdr:colOff>
      <xdr:row>125</xdr:row>
      <xdr:rowOff>108426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09EF2E55-D5A9-4112-966B-B7992CEAB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0400" y="26974800"/>
          <a:ext cx="8118360" cy="170862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130</xdr:row>
      <xdr:rowOff>0</xdr:rowOff>
    </xdr:from>
    <xdr:to>
      <xdr:col>10</xdr:col>
      <xdr:colOff>515251</xdr:colOff>
      <xdr:row>138</xdr:row>
      <xdr:rowOff>19308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21B2C43A-F4A0-040D-9CCE-7733C7CA1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29718000"/>
          <a:ext cx="6458851" cy="1848108"/>
        </a:xfrm>
        <a:prstGeom prst="rect">
          <a:avLst/>
        </a:prstGeom>
      </xdr:spPr>
    </xdr:pic>
    <xdr:clientData/>
  </xdr:twoCellAnchor>
  <xdr:twoCellAnchor>
    <xdr:from>
      <xdr:col>1</xdr:col>
      <xdr:colOff>469900</xdr:colOff>
      <xdr:row>130</xdr:row>
      <xdr:rowOff>165100</xdr:rowOff>
    </xdr:from>
    <xdr:to>
      <xdr:col>10</xdr:col>
      <xdr:colOff>501650</xdr:colOff>
      <xdr:row>132</xdr:row>
      <xdr:rowOff>44450</xdr:rowOff>
    </xdr:to>
    <xdr:sp macro="" textlink="">
      <xdr:nvSpPr>
        <xdr:cNvPr id="10" name="フレーム 9">
          <a:extLst>
            <a:ext uri="{FF2B5EF4-FFF2-40B4-BE49-F238E27FC236}">
              <a16:creationId xmlns:a16="http://schemas.microsoft.com/office/drawing/2014/main" id="{61303632-9790-2481-C68A-9A718A3C46E6}"/>
            </a:ext>
          </a:extLst>
        </xdr:cNvPr>
        <xdr:cNvSpPr/>
      </xdr:nvSpPr>
      <xdr:spPr>
        <a:xfrm>
          <a:off x="1130300" y="29883100"/>
          <a:ext cx="5975350" cy="336550"/>
        </a:xfrm>
        <a:prstGeom prst="frame">
          <a:avLst>
            <a:gd name="adj1" fmla="val 0"/>
          </a:avLst>
        </a:prstGeom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444500</xdr:colOff>
      <xdr:row>132</xdr:row>
      <xdr:rowOff>184150</xdr:rowOff>
    </xdr:from>
    <xdr:to>
      <xdr:col>10</xdr:col>
      <xdr:colOff>488950</xdr:colOff>
      <xdr:row>134</xdr:row>
      <xdr:rowOff>63500</xdr:rowOff>
    </xdr:to>
    <xdr:sp macro="" textlink="">
      <xdr:nvSpPr>
        <xdr:cNvPr id="11" name="フレーム 10">
          <a:extLst>
            <a:ext uri="{FF2B5EF4-FFF2-40B4-BE49-F238E27FC236}">
              <a16:creationId xmlns:a16="http://schemas.microsoft.com/office/drawing/2014/main" id="{94B6127B-1A06-4781-B45D-190EC37C17C1}"/>
            </a:ext>
          </a:extLst>
        </xdr:cNvPr>
        <xdr:cNvSpPr/>
      </xdr:nvSpPr>
      <xdr:spPr>
        <a:xfrm>
          <a:off x="1104900" y="30359350"/>
          <a:ext cx="5988050" cy="336550"/>
        </a:xfrm>
        <a:prstGeom prst="frame">
          <a:avLst>
            <a:gd name="adj1" fmla="val 0"/>
          </a:avLst>
        </a:prstGeom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ccounts.google.com/o/oauth2/auth?client_id=52220540834-2qmrh47s2kv595v13ka7dqtqjt2ndck0.apps.googleusercontent.com&amp;redirect_uri=http://localhost&amp;response_type=code&amp;scope=https://www.googleapis.com/auth/youtube.force-ssl&amp;access_type=offline&amp;prompt=cons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AAD8-FD6C-481B-9862-C6787CEA2737}">
  <dimension ref="A1:S141"/>
  <sheetViews>
    <sheetView tabSelected="1" workbookViewId="0"/>
  </sheetViews>
  <sheetFormatPr defaultRowHeight="18" x14ac:dyDescent="0.55000000000000004"/>
  <cols>
    <col min="13" max="13" width="11.08203125" customWidth="1"/>
  </cols>
  <sheetData>
    <row r="1" spans="1:17" x14ac:dyDescent="0.55000000000000004">
      <c r="A1" t="s">
        <v>0</v>
      </c>
    </row>
    <row r="2" spans="1:17" x14ac:dyDescent="0.55000000000000004">
      <c r="B2" s="2" t="s">
        <v>4</v>
      </c>
    </row>
    <row r="3" spans="1:17" x14ac:dyDescent="0.55000000000000004">
      <c r="B3" s="1"/>
    </row>
    <row r="4" spans="1:17" x14ac:dyDescent="0.55000000000000004">
      <c r="B4" t="s">
        <v>1</v>
      </c>
      <c r="F4" s="12" t="s">
        <v>2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4"/>
    </row>
    <row r="5" spans="1:17" x14ac:dyDescent="0.55000000000000004">
      <c r="B5" t="s">
        <v>5</v>
      </c>
    </row>
    <row r="7" spans="1:17" x14ac:dyDescent="0.55000000000000004">
      <c r="B7" t="s">
        <v>3</v>
      </c>
    </row>
    <row r="8" spans="1:17" x14ac:dyDescent="0.55000000000000004">
      <c r="B8" s="1" t="str">
        <f>"https://accounts.google.com/o/oauth2/auth?client_id=" &amp; F4 &amp; "&amp;redirect_uri=http://localhost&amp;
response_type=code&amp;
scope=https://www.googleapis.com/auth/youtube.force-ssl&amp;
access_type=offline&amp;
prompt=consent"</f>
        <v>https://accounts.google.com/o/oauth2/auth?client_id=52220540834-2qmrh47s2kv595v13ka7dqtqjt2ndck0.apps.googleusercontent.com&amp;redirect_uri=http://localhost&amp;
response_type=code&amp;
scope=https://www.googleapis.com/auth/youtube.force-ssl&amp;
access_type=offline&amp;
prompt=consent</v>
      </c>
    </row>
    <row r="12" spans="1:17" x14ac:dyDescent="0.55000000000000004">
      <c r="A12" t="s">
        <v>6</v>
      </c>
    </row>
    <row r="100" spans="1:19" x14ac:dyDescent="0.55000000000000004">
      <c r="B100" t="s">
        <v>23</v>
      </c>
    </row>
    <row r="101" spans="1:19" x14ac:dyDescent="0.55000000000000004">
      <c r="B101" s="15" t="s">
        <v>19</v>
      </c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7"/>
    </row>
    <row r="103" spans="1:19" x14ac:dyDescent="0.55000000000000004">
      <c r="B103" t="s">
        <v>7</v>
      </c>
    </row>
    <row r="104" spans="1:19" x14ac:dyDescent="0.55000000000000004">
      <c r="B104" t="str">
        <f>RIGHT(LEFT(B101,FIND("&amp;scope",B101)-1),LEN(LEFT(B101,FIND("&amp;scope",B101)-1))-FIND("code=",LEFT(B101,FIND("&amp;scope",B101)-1))-4)</f>
        <v>4/0ATX87lPXgQMsyNd5hcMYeNlwFU5igZ77FB8fUD1UVsVA33oWE3gmpg_QTrqA34mQGpc71g</v>
      </c>
    </row>
    <row r="107" spans="1:19" x14ac:dyDescent="0.55000000000000004">
      <c r="A107" t="s">
        <v>8</v>
      </c>
    </row>
    <row r="109" spans="1:19" x14ac:dyDescent="0.55000000000000004">
      <c r="B109" t="s">
        <v>9</v>
      </c>
    </row>
    <row r="110" spans="1:19" x14ac:dyDescent="0.55000000000000004">
      <c r="B110" s="3" t="s">
        <v>10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5"/>
    </row>
    <row r="111" spans="1:19" x14ac:dyDescent="0.55000000000000004">
      <c r="B111" s="6" t="str">
        <f>"  --data-urlencode ""code=" &amp; B104 &amp; """ ^"</f>
        <v xml:space="preserve">  --data-urlencode "code=4/0ATX87lPXgQMsyNd5hcMYeNlwFU5igZ77FB8fUD1UVsVA33oWE3gmpg_QTrqA34mQGpc71g" ^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8"/>
      <c r="N111" t="s">
        <v>14</v>
      </c>
    </row>
    <row r="112" spans="1:19" x14ac:dyDescent="0.55000000000000004">
      <c r="B112" s="6" t="s">
        <v>16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8"/>
      <c r="N112" t="s">
        <v>15</v>
      </c>
    </row>
    <row r="113" spans="2:14" x14ac:dyDescent="0.55000000000000004">
      <c r="B113" s="6" t="s">
        <v>17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8"/>
      <c r="N113" t="s">
        <v>18</v>
      </c>
    </row>
    <row r="114" spans="2:14" x14ac:dyDescent="0.55000000000000004">
      <c r="B114" s="6" t="s">
        <v>11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8"/>
    </row>
    <row r="115" spans="2:14" x14ac:dyDescent="0.55000000000000004">
      <c r="B115" s="9" t="s">
        <v>12</v>
      </c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1"/>
    </row>
    <row r="117" spans="2:14" x14ac:dyDescent="0.55000000000000004">
      <c r="B117" t="s">
        <v>13</v>
      </c>
    </row>
    <row r="127" spans="2:14" x14ac:dyDescent="0.55000000000000004">
      <c r="B127" t="s">
        <v>20</v>
      </c>
    </row>
    <row r="129" spans="2:2" x14ac:dyDescent="0.55000000000000004">
      <c r="B129" t="s">
        <v>21</v>
      </c>
    </row>
    <row r="141" spans="2:2" x14ac:dyDescent="0.55000000000000004">
      <c r="B141" t="s">
        <v>22</v>
      </c>
    </row>
  </sheetData>
  <mergeCells count="2">
    <mergeCell ref="F4:Q4"/>
    <mergeCell ref="B101:S101"/>
  </mergeCells>
  <phoneticPr fontId="1"/>
  <hyperlinks>
    <hyperlink ref="B8" r:id="rId1" display="https://accounts.google.com/o/oauth2/auth?client_id=52220540834-2qmrh47s2kv595v13ka7dqtqjt2ndck0.apps.googleusercontent.com&amp;redirect_uri=http://localhost&amp;_x000a_response_type=code&amp;_x000a_scope=https://www.googleapis.com/auth/youtube.force-ssl&amp;_x000a_access_type=offline&amp;_x000a_prompt=consent" xr:uid="{81AA84C6-FCB8-4625-9929-31A7813ED4B4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リフレッシュトークン更新手順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kouki sone</dc:creator>
  <cp:lastModifiedBy>kouki sone</cp:lastModifiedBy>
  <dcterms:created xsi:type="dcterms:W3CDTF">2025-12-03T13:49:06Z</dcterms:created>
  <dcterms:modified xsi:type="dcterms:W3CDTF">2025-12-22T14:22:52Z</dcterms:modified>
</cp:coreProperties>
</file>